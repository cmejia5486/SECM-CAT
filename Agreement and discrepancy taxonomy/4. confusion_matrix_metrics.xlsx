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kiam-my.sharepoint.com/personal/carlos_mejia_ikiam_edu_ec/Documents/Descargas/"/>
    </mc:Choice>
  </mc:AlternateContent>
  <xr:revisionPtr revIDLastSave="8" documentId="11_2338F6238ECF33BE1CAD4BBD5AE432E67AD325A1" xr6:coauthVersionLast="47" xr6:coauthVersionMax="47" xr10:uidLastSave="{C95C60AD-5EF9-4B8D-B24C-BDA06FE9604A}"/>
  <bookViews>
    <workbookView xWindow="-108" yWindow="-108" windowWidth="23256" windowHeight="13896" xr2:uid="{00000000-000D-0000-FFFF-FFFF00000000}"/>
  </bookViews>
  <sheets>
    <sheet name="Confusion Matrix" sheetId="1" r:id="rId1"/>
    <sheet name="One-vs-Rest" sheetId="2" r:id="rId2"/>
    <sheet name="Metrics Summary" sheetId="3" r:id="rId3"/>
    <sheet name="Metric Guide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D8" i="1"/>
  <c r="F7" i="1" s="1"/>
  <c r="C8" i="1"/>
  <c r="F6" i="1" s="1"/>
  <c r="B8" i="1"/>
  <c r="F5" i="1" s="1"/>
  <c r="E7" i="1"/>
  <c r="C7" i="2" s="1"/>
  <c r="L7" i="2" s="1"/>
  <c r="E6" i="1"/>
  <c r="C6" i="2" s="1"/>
  <c r="E5" i="1"/>
  <c r="C5" i="2" s="1"/>
  <c r="L5" i="2" s="1"/>
  <c r="G6" i="2" l="1"/>
  <c r="L6" i="2"/>
  <c r="L8" i="2" s="1"/>
  <c r="C15" i="3" s="1"/>
  <c r="G7" i="2"/>
  <c r="G5" i="2"/>
  <c r="E8" i="1"/>
  <c r="D5" i="2"/>
  <c r="D7" i="2"/>
  <c r="D6" i="2"/>
  <c r="F5" i="2" l="1"/>
  <c r="F6" i="2"/>
  <c r="H6" i="2" s="1"/>
  <c r="E6" i="2"/>
  <c r="E5" i="2"/>
  <c r="C5" i="3"/>
  <c r="C6" i="3" s="1"/>
  <c r="E7" i="2"/>
  <c r="F7" i="2"/>
  <c r="H7" i="2" s="1"/>
  <c r="G8" i="2"/>
  <c r="N7" i="2" l="1"/>
  <c r="I7" i="2"/>
  <c r="M7" i="2" s="1"/>
  <c r="J7" i="2"/>
  <c r="C12" i="3"/>
  <c r="C8" i="3"/>
  <c r="I5" i="2"/>
  <c r="J5" i="2"/>
  <c r="N5" i="2"/>
  <c r="J6" i="2"/>
  <c r="I6" i="2"/>
  <c r="M6" i="2" s="1"/>
  <c r="N6" i="2"/>
  <c r="K7" i="2"/>
  <c r="K6" i="2"/>
  <c r="F8" i="2"/>
  <c r="C7" i="3" s="1"/>
  <c r="H5" i="2"/>
  <c r="H8" i="2" s="1"/>
  <c r="C9" i="3" s="1"/>
  <c r="K5" i="2"/>
  <c r="K8" i="2" s="1"/>
  <c r="C14" i="3" s="1"/>
  <c r="J8" i="2" l="1"/>
  <c r="C11" i="3" s="1"/>
  <c r="N8" i="2"/>
  <c r="I8" i="2"/>
  <c r="C10" i="3" s="1"/>
  <c r="M5" i="2"/>
  <c r="M8" i="2" s="1"/>
</calcChain>
</file>

<file path=xl/sharedStrings.xml><?xml version="1.0" encoding="utf-8"?>
<sst xmlns="http://schemas.openxmlformats.org/spreadsheetml/2006/main" count="167" uniqueCount="127">
  <si>
    <t>Confusion matrix: AI-assisted audit vs human-only baseline</t>
  </si>
  <si>
    <t>Rows are the human-only baseline audit, used as the reference. Columns are the AI-assisted audit. Yes = compliant, No = non-compliant, N/A = not applicable.</t>
  </si>
  <si>
    <t>Human baseline \ AI-assisted</t>
  </si>
  <si>
    <t>Yes</t>
  </si>
  <si>
    <t>No</t>
  </si>
  <si>
    <t>N/A</t>
  </si>
  <si>
    <t>Row total</t>
  </si>
  <si>
    <t>Column total vertical</t>
  </si>
  <si>
    <t>Column total</t>
  </si>
  <si>
    <t>Key reading: diagonal cells are agreements. Off-diagonal cells are discrepancies. The zero in Human No / AI Yes means that no false compliance cases were observed.</t>
  </si>
  <si>
    <t>One-vs-rest calculations by class</t>
  </si>
  <si>
    <t>For each class, that class is treated as positive and the other two classes are treated as negative. These rows explain how the macro metrics are obtained.</t>
  </si>
  <si>
    <t>Class</t>
  </si>
  <si>
    <t>TP</t>
  </si>
  <si>
    <t>FN</t>
  </si>
  <si>
    <t>FP</t>
  </si>
  <si>
    <t>TN</t>
  </si>
  <si>
    <t>Precision</t>
  </si>
  <si>
    <t>Recall / TPR</t>
  </si>
  <si>
    <t>F1-score</t>
  </si>
  <si>
    <t>Specificity / TNR</t>
  </si>
  <si>
    <t>NPV</t>
  </si>
  <si>
    <t>FPR</t>
  </si>
  <si>
    <t>FNR</t>
  </si>
  <si>
    <t>Balanced accuracy</t>
  </si>
  <si>
    <t>MCC one-vs-rest</t>
  </si>
  <si>
    <t>Macro average</t>
  </si>
  <si>
    <t>Summary metrics for the AI-assisted audit against the human-only baseline</t>
  </si>
  <si>
    <t>The human-only audit is the reference. The AI-assisted audit is the evaluated output. Macro metrics are unweighted averages across Yes, No, and N/A using one-vs-rest calculations.</t>
  </si>
  <si>
    <t>Metric</t>
  </si>
  <si>
    <t>Formula / definition</t>
  </si>
  <si>
    <t>Value</t>
  </si>
  <si>
    <t>How to read it in this study</t>
  </si>
  <si>
    <t>Accuracy</t>
  </si>
  <si>
    <t>Correct decisions / total</t>
  </si>
  <si>
    <t>Overall agreement between AI-assisted audit and human-only baseline.</t>
  </si>
  <si>
    <t>Error rate</t>
  </si>
  <si>
    <t>Incorrect decisions / total</t>
  </si>
  <si>
    <t>Overall disagreement between both audits.</t>
  </si>
  <si>
    <t>Macro Precision</t>
  </si>
  <si>
    <t>Average precision across Yes, No, and N/A</t>
  </si>
  <si>
    <t>How reliable the AI-assisted audit was when it assigned each class.</t>
  </si>
  <si>
    <t>Macro Recall / Sensitivity / TPR</t>
  </si>
  <si>
    <t>Average recall across Yes, No, and N/A</t>
  </si>
  <si>
    <t>How many human-reference cases of each class were recovered by the AI-assisted audit.</t>
  </si>
  <si>
    <t>Macro F1-score</t>
  </si>
  <si>
    <t>Average F1-score across Yes, No, and N/A</t>
  </si>
  <si>
    <t>Balance between precision and recall.</t>
  </si>
  <si>
    <t>Macro Specificity / TNR</t>
  </si>
  <si>
    <t>Average specificity across Yes, No, and N/A</t>
  </si>
  <si>
    <t>Ability to avoid assigning a class when that class did not apply.</t>
  </si>
  <si>
    <t>Macro NPV</t>
  </si>
  <si>
    <t>Average negative predictive value across Yes, No, and N/A</t>
  </si>
  <si>
    <t>Reliability of the negative decisions relative to each class.</t>
  </si>
  <si>
    <t>Balanced Accuracy</t>
  </si>
  <si>
    <t>Multiclass balanced accuracy = average recall across classes</t>
  </si>
  <si>
    <t>Useful when class frequencies are imbalanced.</t>
  </si>
  <si>
    <t>Multiclass MCC</t>
  </si>
  <si>
    <t>Matthews correlation coefficient computed from the full 3x3 matrix</t>
  </si>
  <si>
    <t>Global agreement quality. 1 is perfect, 0 is chance-like, negative values indicate systematic disagreement.</t>
  </si>
  <si>
    <t>Macro FPR</t>
  </si>
  <si>
    <t>Average false positive rate across Yes, No, and N/A</t>
  </si>
  <si>
    <t>How often the AI-assisted audit incorrectly assigned a class.</t>
  </si>
  <si>
    <t>Macro FNR</t>
  </si>
  <si>
    <t>Average false negative rate across Yes, No, and N/A</t>
  </si>
  <si>
    <t>How often the AI-assisted audit failed to recover a human-reference class.</t>
  </si>
  <si>
    <t>Metric guide and calculation notes</t>
  </si>
  <si>
    <t>This sheet explains the abbreviations and formulas used in the workbook. It is intended to make the confusion-matrix metrics understandable and reproducible.</t>
  </si>
  <si>
    <t>Term</t>
  </si>
  <si>
    <t>Full name</t>
  </si>
  <si>
    <t>Formula</t>
  </si>
  <si>
    <t>Plain-English interpretation</t>
  </si>
  <si>
    <t>True Positive</t>
  </si>
  <si>
    <t>Human = class and AI = class</t>
  </si>
  <si>
    <t>The AI-assisted audit correctly assigned the class used as the positive class.</t>
  </si>
  <si>
    <t>False Negative</t>
  </si>
  <si>
    <t>Human = class and AI &lt;&gt; class</t>
  </si>
  <si>
    <t>The human baseline assigned the class, but the AI-assisted audit missed it.</t>
  </si>
  <si>
    <t>False Positive</t>
  </si>
  <si>
    <t>Human &lt;&gt; class and AI = class</t>
  </si>
  <si>
    <t>The AI-assisted audit assigned the class when the human baseline did not.</t>
  </si>
  <si>
    <t>True Negative</t>
  </si>
  <si>
    <t>Human &lt;&gt; class and AI &lt;&gt; class</t>
  </si>
  <si>
    <t>The AI-assisted audit correctly avoided assigning that class.</t>
  </si>
  <si>
    <t>TPR</t>
  </si>
  <si>
    <t>True Positive Rate, also Recall or Sensitivity</t>
  </si>
  <si>
    <t>TP / (TP + FN)</t>
  </si>
  <si>
    <t>How much of a human-reference class the AI-assisted audit recovered.</t>
  </si>
  <si>
    <t>TNR</t>
  </si>
  <si>
    <t>True Negative Rate, also Specificity</t>
  </si>
  <si>
    <t>TN / (TN + FP)</t>
  </si>
  <si>
    <t>How well the AI-assisted audit avoided assigning a class when it did not apply.</t>
  </si>
  <si>
    <t>Negative Predictive Value</t>
  </si>
  <si>
    <t>TN / (TN + FN)</t>
  </si>
  <si>
    <t>How reliable the negative decisions were for a given class.</t>
  </si>
  <si>
    <t>False Positive Rate</t>
  </si>
  <si>
    <t>FP / (FP + TN)</t>
  </si>
  <si>
    <t>False Negative Rate</t>
  </si>
  <si>
    <t>FN / (FN + TP)</t>
  </si>
  <si>
    <t>How often the AI-assisted audit failed to recover a class assigned by the human baseline.</t>
  </si>
  <si>
    <t>MCC</t>
  </si>
  <si>
    <t>Matthews Correlation Coefficient</t>
  </si>
  <si>
    <t>Binary: (TP*TN - FP*FN) / SQRT((TP+FP)(TP+FN)(TN+FP)(TN+FN))</t>
  </si>
  <si>
    <t>A robust correlation-like measure of classification quality. It ranges from -1 to 1.</t>
  </si>
  <si>
    <t>Workbook calculation</t>
  </si>
  <si>
    <t>Global metric</t>
  </si>
  <si>
    <t>(sum of diagonal agreements) / total</t>
  </si>
  <si>
    <t>Percentage of all requirements where both audits made the same decision.</t>
  </si>
  <si>
    <t>1 - Accuracy</t>
  </si>
  <si>
    <t>Percentage of all requirements where the audits disagreed.</t>
  </si>
  <si>
    <t>Computed per class, then macro-averaged</t>
  </si>
  <si>
    <t>TP / (TP + FP)</t>
  </si>
  <si>
    <t>When AI assigns a class, this measures how often that assignment is correct against the human baseline.</t>
  </si>
  <si>
    <t>Recall / Sensitivity / TPR</t>
  </si>
  <si>
    <t>Of the requirements in a class according to the human baseline, this measures how many the AI recovered.</t>
  </si>
  <si>
    <t>2 * Precision * Recall / (Precision + Recall)</t>
  </si>
  <si>
    <t>A single score that balances precision and recall.</t>
  </si>
  <si>
    <t>Ability to avoid incorrectly assigning a class.</t>
  </si>
  <si>
    <t>Reliability of the cases where AI did not assign a class.</t>
  </si>
  <si>
    <t>Multiclass summary</t>
  </si>
  <si>
    <t>Used because Yes, No, and N/A are imbalanced in frequency.</t>
  </si>
  <si>
    <t>Computed from the full 3x3 confusion matrix</t>
  </si>
  <si>
    <t>Gorodkin/scikit-learn multiclass MCC formula</t>
  </si>
  <si>
    <t>Global classification quality using all cells of the matrix.</t>
  </si>
  <si>
    <t>Average rate at which AI incorrectly assigned each class.</t>
  </si>
  <si>
    <t>Average rate at which AI missed each human-reference class.</t>
  </si>
  <si>
    <t>Main interpretation for the paper: The AI-assisted audit showed high exact agreement and no false compliance cases for Human No / AI Yes. However, it behaved conservatively for the Yes class: it did not always confirm compliance when explicit evidence was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</si>
</sst>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6"/>
      <color rgb="FF1F4E78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/>
    <xf numFmtId="10" fontId="4" fillId="4" borderId="0" xfId="0" applyNumberFormat="1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/>
    <xf numFmtId="10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34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usionMatrixTable" displayName="ConfusionMatrixTable" ref="A4:F8" dataDxfId="0">
  <tableColumns count="6">
    <tableColumn id="1" xr3:uid="{00000000-0010-0000-0000-000001000000}" name="Human baseline \ AI-assisted" dataDxfId="6"/>
    <tableColumn id="2" xr3:uid="{00000000-0010-0000-0000-000002000000}" name="Yes" dataDxfId="5"/>
    <tableColumn id="3" xr3:uid="{00000000-0010-0000-0000-000003000000}" name="No" dataDxfId="4"/>
    <tableColumn id="4" xr3:uid="{00000000-0010-0000-0000-000004000000}" name="N/A" dataDxfId="3"/>
    <tableColumn id="5" xr3:uid="{00000000-0010-0000-0000-000005000000}" name="Row total" dataDxfId="2"/>
    <tableColumn id="6" xr3:uid="{00000000-0010-0000-0000-000006000000}" name="Column total vertical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neVsRestTable" displayName="OneVsRestTable" ref="A4:N8">
  <tableColumns count="14">
    <tableColumn id="1" xr3:uid="{00000000-0010-0000-0100-000001000000}" name="Class" dataDxfId="19"/>
    <tableColumn id="2" xr3:uid="{00000000-0010-0000-0100-000002000000}" name="TP" dataDxfId="18"/>
    <tableColumn id="3" xr3:uid="{00000000-0010-0000-0100-000003000000}" name="FN" dataDxfId="17"/>
    <tableColumn id="4" xr3:uid="{00000000-0010-0000-0100-000004000000}" name="FP" dataDxfId="16"/>
    <tableColumn id="5" xr3:uid="{00000000-0010-0000-0100-000005000000}" name="TN" dataDxfId="15"/>
    <tableColumn id="6" xr3:uid="{00000000-0010-0000-0100-000006000000}" name="Precision" dataDxfId="14"/>
    <tableColumn id="7" xr3:uid="{00000000-0010-0000-0100-000007000000}" name="Recall / TPR" dataDxfId="13"/>
    <tableColumn id="8" xr3:uid="{00000000-0010-0000-0100-000008000000}" name="F1-score" dataDxfId="12"/>
    <tableColumn id="9" xr3:uid="{00000000-0010-0000-0100-000009000000}" name="Specificity / TNR" dataDxfId="11"/>
    <tableColumn id="10" xr3:uid="{00000000-0010-0000-0100-00000A000000}" name="NPV" dataDxfId="10"/>
    <tableColumn id="11" xr3:uid="{00000000-0010-0000-0100-00000B000000}" name="FPR" dataDxfId="9"/>
    <tableColumn id="12" xr3:uid="{00000000-0010-0000-0100-00000C000000}" name="FNR" dataDxfId="8"/>
    <tableColumn id="13" xr3:uid="{00000000-0010-0000-0100-00000D000000}" name="Balanced accuracy" dataDxfId="7"/>
    <tableColumn id="14" xr3:uid="{00000000-0010-0000-0100-00000E000000}" name="MCC one-vs-re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ricsSummaryTable" displayName="MetricsSummaryTable" ref="A4:D15" dataDxfId="20">
  <tableColumns count="4">
    <tableColumn id="1" xr3:uid="{00000000-0010-0000-0200-000001000000}" name="Metric" dataDxfId="24"/>
    <tableColumn id="2" xr3:uid="{00000000-0010-0000-0200-000002000000}" name="Formula / definition" dataDxfId="23"/>
    <tableColumn id="3" xr3:uid="{00000000-0010-0000-0200-000003000000}" name="Value" dataDxfId="22"/>
    <tableColumn id="4" xr3:uid="{00000000-0010-0000-0200-000004000000}" name="How to read it in this study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rmGuideTable" displayName="TermGuideTable" ref="A4:D14">
  <tableColumns count="4">
    <tableColumn id="1" xr3:uid="{00000000-0010-0000-0300-000001000000}" name="Term" dataDxfId="33"/>
    <tableColumn id="2" xr3:uid="{00000000-0010-0000-0300-000002000000}" name="Full name" dataDxfId="32"/>
    <tableColumn id="3" xr3:uid="{00000000-0010-0000-0300-000003000000}" name="Formula" dataDxfId="30"/>
    <tableColumn id="4" xr3:uid="{00000000-0010-0000-0300-000004000000}" name="Plain-English interpretation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ricGuideTable" displayName="MetricGuideTable" ref="A16:D27" dataDxfId="25">
  <tableColumns count="4">
    <tableColumn id="1" xr3:uid="{00000000-0010-0000-0400-000001000000}" name="Metric" dataDxfId="29"/>
    <tableColumn id="2" xr3:uid="{00000000-0010-0000-0400-000002000000}" name="Workbook calculation" dataDxfId="28"/>
    <tableColumn id="3" xr3:uid="{00000000-0010-0000-0400-000003000000}" name="Formula" dataDxfId="27"/>
    <tableColumn id="4" xr3:uid="{00000000-0010-0000-0400-000004000000}" name="Plain-English interpretation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5" sqref="A5:F8"/>
    </sheetView>
  </sheetViews>
  <sheetFormatPr baseColWidth="10" defaultColWidth="8.796875" defaultRowHeight="13.8"/>
  <cols>
    <col min="1" max="1" width="28" customWidth="1"/>
    <col min="2" max="6" width="16" customWidth="1"/>
  </cols>
  <sheetData>
    <row r="1" spans="1:6">
      <c r="A1" s="9" t="s">
        <v>0</v>
      </c>
      <c r="B1" s="10"/>
      <c r="C1" s="10"/>
      <c r="D1" s="10"/>
      <c r="E1" s="10"/>
      <c r="F1" s="10"/>
    </row>
    <row r="2" spans="1:6" ht="14.4">
      <c r="A2" s="11" t="s">
        <v>1</v>
      </c>
      <c r="B2" s="10"/>
      <c r="C2" s="10"/>
      <c r="D2" s="10"/>
      <c r="E2" s="10"/>
      <c r="F2" s="10"/>
    </row>
    <row r="3" spans="1:6">
      <c r="A3" s="4"/>
      <c r="B3" s="4"/>
      <c r="C3" s="4"/>
      <c r="D3" s="4"/>
      <c r="E3" s="4"/>
      <c r="F3" s="4"/>
    </row>
    <row r="4" spans="1:6" ht="27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 t="s">
        <v>3</v>
      </c>
      <c r="B5" s="5">
        <v>28</v>
      </c>
      <c r="C5" s="5">
        <v>38</v>
      </c>
      <c r="D5" s="5">
        <v>13</v>
      </c>
      <c r="E5" s="5">
        <f>SUM(B5:D5)</f>
        <v>79</v>
      </c>
      <c r="F5" s="5">
        <f>B8</f>
        <v>28</v>
      </c>
    </row>
    <row r="6" spans="1:6">
      <c r="A6" s="2" t="s">
        <v>4</v>
      </c>
      <c r="B6" s="5">
        <v>0</v>
      </c>
      <c r="C6" s="5">
        <v>337</v>
      </c>
      <c r="D6" s="5">
        <v>14</v>
      </c>
      <c r="E6" s="5">
        <f>SUM(B6:D6)</f>
        <v>351</v>
      </c>
      <c r="F6" s="5">
        <f>C8</f>
        <v>376</v>
      </c>
    </row>
    <row r="7" spans="1:6">
      <c r="A7" s="2" t="s">
        <v>5</v>
      </c>
      <c r="B7" s="5">
        <v>0</v>
      </c>
      <c r="C7" s="5">
        <v>1</v>
      </c>
      <c r="D7" s="5">
        <v>38</v>
      </c>
      <c r="E7" s="5">
        <f>SUM(B7:D7)</f>
        <v>39</v>
      </c>
      <c r="F7" s="5">
        <f>D8</f>
        <v>65</v>
      </c>
    </row>
    <row r="8" spans="1:6">
      <c r="A8" s="2" t="s">
        <v>8</v>
      </c>
      <c r="B8" s="3">
        <f>SUM(B5:B7)</f>
        <v>28</v>
      </c>
      <c r="C8" s="3">
        <f>SUM(C5:C7)</f>
        <v>376</v>
      </c>
      <c r="D8" s="3">
        <f>SUM(D5:D7)</f>
        <v>65</v>
      </c>
      <c r="E8" s="3">
        <f>SUM(E5:E7)</f>
        <v>469</v>
      </c>
      <c r="F8" s="3"/>
    </row>
    <row r="9" spans="1:6">
      <c r="A9" s="4"/>
      <c r="B9" s="4"/>
      <c r="C9" s="4"/>
      <c r="D9" s="4"/>
      <c r="E9" s="4"/>
      <c r="F9" s="4"/>
    </row>
    <row r="10" spans="1:6" ht="14.4">
      <c r="A10" s="11" t="s">
        <v>9</v>
      </c>
      <c r="B10" s="10"/>
      <c r="C10" s="10"/>
      <c r="D10" s="10"/>
      <c r="E10" s="10"/>
      <c r="F10" s="10"/>
    </row>
  </sheetData>
  <mergeCells count="3">
    <mergeCell ref="A1:F1"/>
    <mergeCell ref="A2:F2"/>
    <mergeCell ref="A10:F10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selection activeCell="A5" sqref="A5:M8"/>
    </sheetView>
  </sheetViews>
  <sheetFormatPr baseColWidth="10" defaultColWidth="8.796875" defaultRowHeight="13.8"/>
  <cols>
    <col min="1" max="1" width="18" customWidth="1"/>
    <col min="2" max="5" width="10" customWidth="1"/>
    <col min="6" max="14" width="16" customWidth="1"/>
  </cols>
  <sheetData>
    <row r="1" spans="1:14">
      <c r="A1" s="9" t="s">
        <v>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4.4">
      <c r="A2" s="11" t="s">
        <v>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27.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</row>
    <row r="5" spans="1:14">
      <c r="A5" s="4" t="s">
        <v>3</v>
      </c>
      <c r="B5" s="5">
        <f>'Confusion Matrix'!B5</f>
        <v>28</v>
      </c>
      <c r="C5" s="5">
        <f>'Confusion Matrix'!E5-B5</f>
        <v>51</v>
      </c>
      <c r="D5" s="5">
        <f>'Confusion Matrix'!B8-B5</f>
        <v>0</v>
      </c>
      <c r="E5" s="5">
        <f>'Confusion Matrix'!E8-B5-C5-D5</f>
        <v>390</v>
      </c>
      <c r="F5" s="13">
        <f>IFERROR(B5/(B5+D5),0)</f>
        <v>1</v>
      </c>
      <c r="G5" s="13">
        <f>IFERROR(B5/(B5+C5),0)</f>
        <v>0.35443037974683544</v>
      </c>
      <c r="H5" s="13">
        <f>IFERROR(2*F5*G5/(F5+G5),0)</f>
        <v>0.52336448598130836</v>
      </c>
      <c r="I5" s="13">
        <f>IFERROR(E5/(E5+D5),0)</f>
        <v>1</v>
      </c>
      <c r="J5" s="13">
        <f>IFERROR(E5/(E5+C5),0)</f>
        <v>0.88435374149659862</v>
      </c>
      <c r="K5" s="13">
        <f>IFERROR(D5/(D5+E5),0)</f>
        <v>0</v>
      </c>
      <c r="L5" s="13">
        <f>IFERROR(C5/(C5+B5),0)</f>
        <v>0.64556962025316456</v>
      </c>
      <c r="M5" s="13">
        <f>(G5+I5)/2</f>
        <v>0.67721518987341778</v>
      </c>
      <c r="N5" s="6">
        <f>IFERROR((B5*E5-D5*C5)/SQRT((B5+D5)*(B5+C5)*(E5+D5)*(E5+C5)),0)</f>
        <v>0.55985876114353539</v>
      </c>
    </row>
    <row r="6" spans="1:14">
      <c r="A6" s="4" t="s">
        <v>4</v>
      </c>
      <c r="B6" s="5">
        <f>'Confusion Matrix'!C6</f>
        <v>337</v>
      </c>
      <c r="C6" s="5">
        <f>'Confusion Matrix'!E6-B6</f>
        <v>14</v>
      </c>
      <c r="D6" s="5">
        <f>'Confusion Matrix'!C8-B6</f>
        <v>39</v>
      </c>
      <c r="E6" s="5">
        <f>'Confusion Matrix'!E8-B6-C6-D6</f>
        <v>79</v>
      </c>
      <c r="F6" s="13">
        <f>IFERROR(B6/(B6+D6),0)</f>
        <v>0.89627659574468088</v>
      </c>
      <c r="G6" s="13">
        <f>IFERROR(B6/(B6+C6),0)</f>
        <v>0.96011396011396011</v>
      </c>
      <c r="H6" s="13">
        <f>IFERROR(2*F6*G6/(F6+G6),0)</f>
        <v>0.92709766162310858</v>
      </c>
      <c r="I6" s="13">
        <f>IFERROR(E6/(E6+D6),0)</f>
        <v>0.66949152542372881</v>
      </c>
      <c r="J6" s="13">
        <f>IFERROR(E6/(E6+C6),0)</f>
        <v>0.84946236559139787</v>
      </c>
      <c r="K6" s="13">
        <f>IFERROR(D6/(D6+E6),0)</f>
        <v>0.33050847457627119</v>
      </c>
      <c r="L6" s="13">
        <f>IFERROR(C6/(C6+B6),0)</f>
        <v>3.9886039886039885E-2</v>
      </c>
      <c r="M6" s="13">
        <f>(G6+I6)/2</f>
        <v>0.81480274276884446</v>
      </c>
      <c r="N6" s="6">
        <f>IFERROR((B6*E6-D6*C6)/SQRT((B6+D6)*(B6+C6)*(E6+D6)*(E6+C6)),0)</f>
        <v>0.68521627303820909</v>
      </c>
    </row>
    <row r="7" spans="1:14">
      <c r="A7" s="4" t="s">
        <v>5</v>
      </c>
      <c r="B7" s="5">
        <f>'Confusion Matrix'!D7</f>
        <v>38</v>
      </c>
      <c r="C7" s="5">
        <f>'Confusion Matrix'!E7-B7</f>
        <v>1</v>
      </c>
      <c r="D7" s="5">
        <f>'Confusion Matrix'!D8-B7</f>
        <v>27</v>
      </c>
      <c r="E7" s="5">
        <f>'Confusion Matrix'!E8-B7-C7-D7</f>
        <v>403</v>
      </c>
      <c r="F7" s="13">
        <f>IFERROR(B7/(B7+D7),0)</f>
        <v>0.58461538461538465</v>
      </c>
      <c r="G7" s="13">
        <f>IFERROR(B7/(B7+C7),0)</f>
        <v>0.97435897435897434</v>
      </c>
      <c r="H7" s="13">
        <f>IFERROR(2*F7*G7/(F7+G7),0)</f>
        <v>0.73076923076923073</v>
      </c>
      <c r="I7" s="13">
        <f>IFERROR(E7/(E7+D7),0)</f>
        <v>0.93720930232558142</v>
      </c>
      <c r="J7" s="13">
        <f>IFERROR(E7/(E7+C7),0)</f>
        <v>0.99752475247524752</v>
      </c>
      <c r="K7" s="13">
        <f>IFERROR(D7/(D7+E7),0)</f>
        <v>6.2790697674418611E-2</v>
      </c>
      <c r="L7" s="13">
        <f>IFERROR(C7/(C7+B7),0)</f>
        <v>2.564102564102564E-2</v>
      </c>
      <c r="M7" s="13">
        <f>(G7+I7)/2</f>
        <v>0.95578413834227782</v>
      </c>
      <c r="N7" s="6">
        <f>IFERROR((B7*E7-D7*C7)/SQRT((B7+D7)*(B7+C7)*(E7+D7)*(E7+C7)),0)</f>
        <v>0.72846446828697042</v>
      </c>
    </row>
    <row r="8" spans="1:14">
      <c r="A8" s="2" t="s">
        <v>26</v>
      </c>
      <c r="B8" s="3"/>
      <c r="C8" s="3"/>
      <c r="D8" s="3"/>
      <c r="E8" s="3"/>
      <c r="F8" s="7">
        <f t="shared" ref="F8:N8" si="0">AVERAGE(F5:F7)</f>
        <v>0.82696399345335525</v>
      </c>
      <c r="G8" s="7">
        <f t="shared" si="0"/>
        <v>0.76296777140659</v>
      </c>
      <c r="H8" s="7">
        <f t="shared" si="0"/>
        <v>0.72707712612454933</v>
      </c>
      <c r="I8" s="7">
        <f t="shared" si="0"/>
        <v>0.8689002759164367</v>
      </c>
      <c r="J8" s="7">
        <f t="shared" si="0"/>
        <v>0.91044695318774804</v>
      </c>
      <c r="K8" s="7">
        <f t="shared" si="0"/>
        <v>0.13109972408356327</v>
      </c>
      <c r="L8" s="7">
        <f t="shared" si="0"/>
        <v>0.23703222859341003</v>
      </c>
      <c r="M8" s="7">
        <f t="shared" si="0"/>
        <v>0.81593402366151346</v>
      </c>
      <c r="N8" s="8">
        <f t="shared" si="0"/>
        <v>0.65784650082290497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A5" sqref="A5:D15"/>
    </sheetView>
  </sheetViews>
  <sheetFormatPr baseColWidth="10" defaultColWidth="8.796875" defaultRowHeight="13.8"/>
  <cols>
    <col min="1" max="1" width="26" customWidth="1"/>
    <col min="2" max="2" width="42" customWidth="1"/>
    <col min="3" max="3" width="14" customWidth="1"/>
    <col min="4" max="4" width="58" customWidth="1"/>
  </cols>
  <sheetData>
    <row r="1" spans="1:4">
      <c r="A1" s="9" t="s">
        <v>27</v>
      </c>
      <c r="B1" s="10"/>
      <c r="C1" s="10"/>
      <c r="D1" s="10"/>
    </row>
    <row r="2" spans="1:4" ht="14.4">
      <c r="A2" s="11" t="s">
        <v>28</v>
      </c>
      <c r="B2" s="12"/>
      <c r="C2" s="12"/>
      <c r="D2" s="12"/>
    </row>
    <row r="4" spans="1:4">
      <c r="A4" s="1" t="s">
        <v>29</v>
      </c>
      <c r="B4" s="1" t="s">
        <v>30</v>
      </c>
      <c r="C4" s="1" t="s">
        <v>31</v>
      </c>
      <c r="D4" s="1" t="s">
        <v>32</v>
      </c>
    </row>
    <row r="5" spans="1:4" ht="27.6">
      <c r="A5" s="4" t="s">
        <v>33</v>
      </c>
      <c r="B5" s="4" t="s">
        <v>34</v>
      </c>
      <c r="C5" s="13">
        <f>('Confusion Matrix'!B5+'Confusion Matrix'!C6+'Confusion Matrix'!D7)/'Confusion Matrix'!E8</f>
        <v>0.85927505330490406</v>
      </c>
      <c r="D5" s="4" t="s">
        <v>35</v>
      </c>
    </row>
    <row r="6" spans="1:4">
      <c r="A6" s="4" t="s">
        <v>36</v>
      </c>
      <c r="B6" s="4" t="s">
        <v>37</v>
      </c>
      <c r="C6" s="13">
        <f>1-C5</f>
        <v>0.14072494669509594</v>
      </c>
      <c r="D6" s="4" t="s">
        <v>38</v>
      </c>
    </row>
    <row r="7" spans="1:4">
      <c r="A7" s="4" t="s">
        <v>39</v>
      </c>
      <c r="B7" s="4" t="s">
        <v>40</v>
      </c>
      <c r="C7" s="13">
        <f>'One-vs-Rest'!F8</f>
        <v>0.82696399345335525</v>
      </c>
      <c r="D7" s="4" t="s">
        <v>41</v>
      </c>
    </row>
    <row r="8" spans="1:4" ht="27.6">
      <c r="A8" s="4" t="s">
        <v>42</v>
      </c>
      <c r="B8" s="4" t="s">
        <v>43</v>
      </c>
      <c r="C8" s="13">
        <f>'One-vs-Rest'!G8</f>
        <v>0.76296777140659</v>
      </c>
      <c r="D8" s="4" t="s">
        <v>44</v>
      </c>
    </row>
    <row r="9" spans="1:4">
      <c r="A9" s="4" t="s">
        <v>45</v>
      </c>
      <c r="B9" s="4" t="s">
        <v>46</v>
      </c>
      <c r="C9" s="13">
        <f>'One-vs-Rest'!H8</f>
        <v>0.72707712612454933</v>
      </c>
      <c r="D9" s="4" t="s">
        <v>47</v>
      </c>
    </row>
    <row r="10" spans="1:4">
      <c r="A10" s="4" t="s">
        <v>48</v>
      </c>
      <c r="B10" s="4" t="s">
        <v>49</v>
      </c>
      <c r="C10" s="13">
        <f>'One-vs-Rest'!I8</f>
        <v>0.8689002759164367</v>
      </c>
      <c r="D10" s="4" t="s">
        <v>50</v>
      </c>
    </row>
    <row r="11" spans="1:4" ht="27.6">
      <c r="A11" s="4" t="s">
        <v>51</v>
      </c>
      <c r="B11" s="4" t="s">
        <v>52</v>
      </c>
      <c r="C11" s="13">
        <f>'One-vs-Rest'!J8</f>
        <v>0.91044695318774804</v>
      </c>
      <c r="D11" s="4" t="s">
        <v>53</v>
      </c>
    </row>
    <row r="12" spans="1:4" ht="27.6">
      <c r="A12" s="4" t="s">
        <v>54</v>
      </c>
      <c r="B12" s="4" t="s">
        <v>55</v>
      </c>
      <c r="C12" s="13">
        <f>'One-vs-Rest'!G8</f>
        <v>0.76296777140659</v>
      </c>
      <c r="D12" s="4" t="s">
        <v>56</v>
      </c>
    </row>
    <row r="13" spans="1:4" ht="27.6">
      <c r="A13" s="4" t="s">
        <v>57</v>
      </c>
      <c r="B13" s="4" t="s">
        <v>58</v>
      </c>
      <c r="C13" s="14">
        <v>0.64611614866779077</v>
      </c>
      <c r="D13" s="4" t="s">
        <v>59</v>
      </c>
    </row>
    <row r="14" spans="1:4" ht="27.6">
      <c r="A14" s="4" t="s">
        <v>60</v>
      </c>
      <c r="B14" s="4" t="s">
        <v>61</v>
      </c>
      <c r="C14" s="13">
        <f>'One-vs-Rest'!K8</f>
        <v>0.13109972408356327</v>
      </c>
      <c r="D14" s="4" t="s">
        <v>62</v>
      </c>
    </row>
    <row r="15" spans="1:4" ht="27.6">
      <c r="A15" s="4" t="s">
        <v>63</v>
      </c>
      <c r="B15" s="4" t="s">
        <v>64</v>
      </c>
      <c r="C15" s="13">
        <f>'One-vs-Rest'!L8</f>
        <v>0.23703222859341003</v>
      </c>
      <c r="D15" s="4" t="s">
        <v>65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topLeftCell="A14" workbookViewId="0">
      <selection activeCell="A36" sqref="A36"/>
    </sheetView>
  </sheetViews>
  <sheetFormatPr baseColWidth="10" defaultColWidth="8.796875" defaultRowHeight="13.8"/>
  <cols>
    <col min="1" max="1" width="18" customWidth="1"/>
    <col min="2" max="2" width="34" customWidth="1"/>
    <col min="3" max="3" width="48" customWidth="1"/>
    <col min="4" max="4" width="62" customWidth="1"/>
  </cols>
  <sheetData>
    <row r="1" spans="1:4">
      <c r="A1" s="9" t="s">
        <v>66</v>
      </c>
      <c r="B1" s="10"/>
      <c r="C1" s="10"/>
      <c r="D1" s="10"/>
    </row>
    <row r="2" spans="1:4" ht="14.4">
      <c r="A2" s="11" t="s">
        <v>67</v>
      </c>
      <c r="B2" s="12"/>
      <c r="C2" s="12"/>
      <c r="D2" s="12"/>
    </row>
    <row r="4" spans="1:4">
      <c r="A4" s="1" t="s">
        <v>68</v>
      </c>
      <c r="B4" s="1" t="s">
        <v>69</v>
      </c>
      <c r="C4" s="1" t="s">
        <v>70</v>
      </c>
      <c r="D4" s="1" t="s">
        <v>71</v>
      </c>
    </row>
    <row r="5" spans="1:4" ht="27.6">
      <c r="A5" s="4" t="s">
        <v>13</v>
      </c>
      <c r="B5" s="4" t="s">
        <v>72</v>
      </c>
      <c r="C5" s="4" t="s">
        <v>73</v>
      </c>
      <c r="D5" s="4" t="s">
        <v>74</v>
      </c>
    </row>
    <row r="6" spans="1:4">
      <c r="A6" s="4" t="s">
        <v>14</v>
      </c>
      <c r="B6" s="4" t="s">
        <v>75</v>
      </c>
      <c r="C6" s="4" t="s">
        <v>76</v>
      </c>
      <c r="D6" s="4" t="s">
        <v>77</v>
      </c>
    </row>
    <row r="7" spans="1:4">
      <c r="A7" s="4" t="s">
        <v>15</v>
      </c>
      <c r="B7" s="4" t="s">
        <v>78</v>
      </c>
      <c r="C7" s="4" t="s">
        <v>79</v>
      </c>
      <c r="D7" s="4" t="s">
        <v>80</v>
      </c>
    </row>
    <row r="8" spans="1:4">
      <c r="A8" s="4" t="s">
        <v>16</v>
      </c>
      <c r="B8" s="4" t="s">
        <v>81</v>
      </c>
      <c r="C8" s="4" t="s">
        <v>82</v>
      </c>
      <c r="D8" s="4" t="s">
        <v>83</v>
      </c>
    </row>
    <row r="9" spans="1:4" ht="27.6">
      <c r="A9" s="4" t="s">
        <v>84</v>
      </c>
      <c r="B9" s="4" t="s">
        <v>85</v>
      </c>
      <c r="C9" s="4" t="s">
        <v>86</v>
      </c>
      <c r="D9" s="4" t="s">
        <v>87</v>
      </c>
    </row>
    <row r="10" spans="1:4" ht="27.6">
      <c r="A10" s="4" t="s">
        <v>88</v>
      </c>
      <c r="B10" s="4" t="s">
        <v>89</v>
      </c>
      <c r="C10" s="4" t="s">
        <v>90</v>
      </c>
      <c r="D10" s="4" t="s">
        <v>91</v>
      </c>
    </row>
    <row r="11" spans="1:4">
      <c r="A11" s="4" t="s">
        <v>21</v>
      </c>
      <c r="B11" s="4" t="s">
        <v>92</v>
      </c>
      <c r="C11" s="4" t="s">
        <v>93</v>
      </c>
      <c r="D11" s="4" t="s">
        <v>94</v>
      </c>
    </row>
    <row r="12" spans="1:4">
      <c r="A12" s="4" t="s">
        <v>22</v>
      </c>
      <c r="B12" s="4" t="s">
        <v>95</v>
      </c>
      <c r="C12" s="4" t="s">
        <v>96</v>
      </c>
      <c r="D12" s="4" t="s">
        <v>62</v>
      </c>
    </row>
    <row r="13" spans="1:4" ht="27.6">
      <c r="A13" s="4" t="s">
        <v>23</v>
      </c>
      <c r="B13" s="4" t="s">
        <v>97</v>
      </c>
      <c r="C13" s="4" t="s">
        <v>98</v>
      </c>
      <c r="D13" s="4" t="s">
        <v>99</v>
      </c>
    </row>
    <row r="14" spans="1:4" ht="27.6">
      <c r="A14" s="4" t="s">
        <v>100</v>
      </c>
      <c r="B14" s="4" t="s">
        <v>101</v>
      </c>
      <c r="C14" s="4" t="s">
        <v>102</v>
      </c>
      <c r="D14" s="4" t="s">
        <v>103</v>
      </c>
    </row>
    <row r="16" spans="1:4">
      <c r="A16" s="1" t="s">
        <v>29</v>
      </c>
      <c r="B16" s="1" t="s">
        <v>104</v>
      </c>
      <c r="C16" s="1" t="s">
        <v>70</v>
      </c>
      <c r="D16" s="1" t="s">
        <v>71</v>
      </c>
    </row>
    <row r="17" spans="1:4">
      <c r="A17" s="4" t="s">
        <v>33</v>
      </c>
      <c r="B17" s="4" t="s">
        <v>105</v>
      </c>
      <c r="C17" s="4" t="s">
        <v>106</v>
      </c>
      <c r="D17" s="4" t="s">
        <v>107</v>
      </c>
    </row>
    <row r="18" spans="1:4">
      <c r="A18" s="4" t="s">
        <v>36</v>
      </c>
      <c r="B18" s="4" t="s">
        <v>105</v>
      </c>
      <c r="C18" s="4" t="s">
        <v>108</v>
      </c>
      <c r="D18" s="4" t="s">
        <v>109</v>
      </c>
    </row>
    <row r="19" spans="1:4" ht="27.6">
      <c r="A19" s="4" t="s">
        <v>17</v>
      </c>
      <c r="B19" s="4" t="s">
        <v>110</v>
      </c>
      <c r="C19" s="4" t="s">
        <v>111</v>
      </c>
      <c r="D19" s="4" t="s">
        <v>112</v>
      </c>
    </row>
    <row r="20" spans="1:4" ht="27.6">
      <c r="A20" s="4" t="s">
        <v>113</v>
      </c>
      <c r="B20" s="4" t="s">
        <v>110</v>
      </c>
      <c r="C20" s="4" t="s">
        <v>86</v>
      </c>
      <c r="D20" s="4" t="s">
        <v>114</v>
      </c>
    </row>
    <row r="21" spans="1:4" ht="27.6">
      <c r="A21" s="4" t="s">
        <v>19</v>
      </c>
      <c r="B21" s="4" t="s">
        <v>110</v>
      </c>
      <c r="C21" s="4" t="s">
        <v>115</v>
      </c>
      <c r="D21" s="4" t="s">
        <v>116</v>
      </c>
    </row>
    <row r="22" spans="1:4" ht="27.6">
      <c r="A22" s="4" t="s">
        <v>20</v>
      </c>
      <c r="B22" s="4" t="s">
        <v>110</v>
      </c>
      <c r="C22" s="4" t="s">
        <v>90</v>
      </c>
      <c r="D22" s="4" t="s">
        <v>117</v>
      </c>
    </row>
    <row r="23" spans="1:4" ht="27.6">
      <c r="A23" s="4" t="s">
        <v>21</v>
      </c>
      <c r="B23" s="4" t="s">
        <v>110</v>
      </c>
      <c r="C23" s="4" t="s">
        <v>93</v>
      </c>
      <c r="D23" s="4" t="s">
        <v>118</v>
      </c>
    </row>
    <row r="24" spans="1:4">
      <c r="A24" s="4" t="s">
        <v>54</v>
      </c>
      <c r="B24" s="4" t="s">
        <v>119</v>
      </c>
      <c r="C24" s="4" t="s">
        <v>43</v>
      </c>
      <c r="D24" s="4" t="s">
        <v>120</v>
      </c>
    </row>
    <row r="25" spans="1:4" ht="27.6">
      <c r="A25" s="4" t="s">
        <v>57</v>
      </c>
      <c r="B25" s="4" t="s">
        <v>121</v>
      </c>
      <c r="C25" s="4" t="s">
        <v>122</v>
      </c>
      <c r="D25" s="4" t="s">
        <v>123</v>
      </c>
    </row>
    <row r="26" spans="1:4" ht="27.6">
      <c r="A26" s="4" t="s">
        <v>60</v>
      </c>
      <c r="B26" s="4" t="s">
        <v>110</v>
      </c>
      <c r="C26" s="4" t="s">
        <v>96</v>
      </c>
      <c r="D26" s="4" t="s">
        <v>124</v>
      </c>
    </row>
    <row r="27" spans="1:4" ht="27.6">
      <c r="A27" s="4" t="s">
        <v>63</v>
      </c>
      <c r="B27" s="4" t="s">
        <v>110</v>
      </c>
      <c r="C27" s="4" t="s">
        <v>98</v>
      </c>
      <c r="D27" s="4" t="s">
        <v>125</v>
      </c>
    </row>
    <row r="29" spans="1:4" ht="14.4">
      <c r="A29" s="11" t="s">
        <v>126</v>
      </c>
      <c r="B29" s="12"/>
      <c r="C29" s="12"/>
      <c r="D29" s="12"/>
    </row>
  </sheetData>
  <mergeCells count="3">
    <mergeCell ref="A1:D1"/>
    <mergeCell ref="A2:D2"/>
    <mergeCell ref="A29:D2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Confusion Matrix</vt:lpstr>
      <vt:lpstr>One-vs-Rest</vt:lpstr>
      <vt:lpstr>Metrics Summary</vt:lpstr>
      <vt:lpstr>Metric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Michael Mejia Granda</cp:lastModifiedBy>
  <dcterms:modified xsi:type="dcterms:W3CDTF">2026-06-02T03:33:06Z</dcterms:modified>
</cp:coreProperties>
</file>